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5FC57B-4295-4510-BDC1-50843C6EE60E}" xr6:coauthVersionLast="47" xr6:coauthVersionMax="47" xr10:uidLastSave="{00000000-0000-0000-0000-000000000000}"/>
  <bookViews>
    <workbookView xWindow="-120" yWindow="-120" windowWidth="29040" windowHeight="15720" xr2:uid="{A2950DE3-A554-42C2-B301-954E4C47C424}"/>
  </bookViews>
  <sheets>
    <sheet name="Sales Data" sheetId="1" r:id="rId1"/>
    <sheet name="Employee_Master" sheetId="2" r:id="rId2"/>
    <sheet name="Product_Master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 l="1"/>
  <c r="N36" i="1"/>
  <c r="N37" i="1"/>
  <c r="N38" i="1"/>
  <c r="N39" i="1"/>
  <c r="N40" i="1"/>
  <c r="N41" i="1"/>
  <c r="N42" i="1"/>
  <c r="N24" i="1"/>
  <c r="N25" i="1"/>
  <c r="N26" i="1"/>
  <c r="N27" i="1"/>
  <c r="N28" i="1"/>
  <c r="N29" i="1"/>
  <c r="N30" i="1"/>
  <c r="N31" i="1"/>
  <c r="N32" i="1"/>
  <c r="N33" i="1"/>
  <c r="N34" i="1"/>
  <c r="N2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G24" i="1"/>
  <c r="C5" i="4"/>
  <c r="C6" i="4"/>
  <c r="C7" i="4"/>
  <c r="C8" i="4"/>
  <c r="C9" i="4"/>
  <c r="C10" i="4"/>
  <c r="C11" i="4"/>
  <c r="C12" i="4"/>
  <c r="C13" i="4"/>
  <c r="C14" i="4"/>
  <c r="L3" i="1" l="1"/>
  <c r="K3" i="1"/>
  <c r="L4" i="1"/>
  <c r="K4" i="1"/>
  <c r="L5" i="1"/>
  <c r="K5" i="1"/>
  <c r="L6" i="1"/>
  <c r="K6" i="1"/>
  <c r="L7" i="1"/>
  <c r="K7" i="1"/>
  <c r="L8" i="1"/>
  <c r="K8" i="1"/>
  <c r="L9" i="1"/>
  <c r="K9" i="1"/>
  <c r="L10" i="1"/>
  <c r="K10" i="1"/>
  <c r="L11" i="1"/>
  <c r="K11" i="1"/>
  <c r="L12" i="1"/>
  <c r="K12" i="1"/>
  <c r="L13" i="1"/>
  <c r="K13" i="1"/>
  <c r="L14" i="1"/>
  <c r="K14" i="1"/>
  <c r="L15" i="1"/>
  <c r="K15" i="1"/>
  <c r="L16" i="1"/>
  <c r="K16" i="1"/>
  <c r="L17" i="1"/>
  <c r="K17" i="1"/>
  <c r="L18" i="1"/>
  <c r="K18" i="1"/>
  <c r="L19" i="1"/>
  <c r="K19" i="1"/>
  <c r="L20" i="1"/>
  <c r="K20" i="1"/>
  <c r="L21" i="1"/>
  <c r="K21" i="1"/>
  <c r="L22" i="1"/>
  <c r="K22" i="1"/>
</calcChain>
</file>

<file path=xl/sharedStrings.xml><?xml version="1.0" encoding="utf-8"?>
<sst xmlns="http://schemas.openxmlformats.org/spreadsheetml/2006/main" count="254" uniqueCount="155">
  <si>
    <t>Order_ID</t>
  </si>
  <si>
    <t>Order_Date</t>
  </si>
  <si>
    <t>Employee_ID</t>
  </si>
  <si>
    <t>Product_ID</t>
  </si>
  <si>
    <t>Region</t>
  </si>
  <si>
    <t>Customer_Type</t>
  </si>
  <si>
    <t>Quantity</t>
  </si>
  <si>
    <t>Unit_Price</t>
  </si>
  <si>
    <t>Discount</t>
  </si>
  <si>
    <t>ORD101</t>
  </si>
  <si>
    <t>01-10-2026</t>
  </si>
  <si>
    <t>E101</t>
  </si>
  <si>
    <t>P101</t>
  </si>
  <si>
    <t>North</t>
  </si>
  <si>
    <t>Retail</t>
  </si>
  <si>
    <t>ORD102</t>
  </si>
  <si>
    <t>02-10-2026</t>
  </si>
  <si>
    <t>E102</t>
  </si>
  <si>
    <t>P103</t>
  </si>
  <si>
    <t>West</t>
  </si>
  <si>
    <t>Corporate</t>
  </si>
  <si>
    <t>ORD103</t>
  </si>
  <si>
    <t>E103</t>
  </si>
  <si>
    <t>P102</t>
  </si>
  <si>
    <t>South</t>
  </si>
  <si>
    <t>ORD104</t>
  </si>
  <si>
    <t>03-10-2026</t>
  </si>
  <si>
    <t>E104</t>
  </si>
  <si>
    <t>P104</t>
  </si>
  <si>
    <t>East</t>
  </si>
  <si>
    <t>ORD105</t>
  </si>
  <si>
    <t>04-10-2026</t>
  </si>
  <si>
    <t>P105</t>
  </si>
  <si>
    <t>ORD106</t>
  </si>
  <si>
    <t>05-10-2026</t>
  </si>
  <si>
    <t>E105</t>
  </si>
  <si>
    <t>P106</t>
  </si>
  <si>
    <t>ORD107</t>
  </si>
  <si>
    <t>06-10-2026</t>
  </si>
  <si>
    <t>ORD108</t>
  </si>
  <si>
    <t>07-10-2026</t>
  </si>
  <si>
    <t>E106</t>
  </si>
  <si>
    <t>P107</t>
  </si>
  <si>
    <t>ORD109</t>
  </si>
  <si>
    <t>08-10-2026</t>
  </si>
  <si>
    <t>ORD110</t>
  </si>
  <si>
    <t>09-10-2026</t>
  </si>
  <si>
    <t>P108</t>
  </si>
  <si>
    <t>ORD111</t>
  </si>
  <si>
    <t>10-10-2026</t>
  </si>
  <si>
    <t>ORD112</t>
  </si>
  <si>
    <t>11-10-2026</t>
  </si>
  <si>
    <t>ORD113</t>
  </si>
  <si>
    <t>12-10-2026</t>
  </si>
  <si>
    <t>ORD114</t>
  </si>
  <si>
    <t>13-10-2026</t>
  </si>
  <si>
    <t>ORD115</t>
  </si>
  <si>
    <t>14-10-2026</t>
  </si>
  <si>
    <t>ORD116</t>
  </si>
  <si>
    <t>15-10-2026</t>
  </si>
  <si>
    <t>ORD117</t>
  </si>
  <si>
    <t>16-10-2026</t>
  </si>
  <si>
    <t>ORD118</t>
  </si>
  <si>
    <t>17-10-2026</t>
  </si>
  <si>
    <t>ORD119</t>
  </si>
  <si>
    <t>18-10-2026</t>
  </si>
  <si>
    <t>ORD120</t>
  </si>
  <si>
    <t>19-10-2026</t>
  </si>
  <si>
    <t>Table 2: Employee_Master</t>
  </si>
  <si>
    <t>Employee_Name</t>
  </si>
  <si>
    <t>Department</t>
  </si>
  <si>
    <t>Monthly_Target</t>
  </si>
  <si>
    <t>Manager</t>
  </si>
  <si>
    <t>Rahul</t>
  </si>
  <si>
    <t>Sales</t>
  </si>
  <si>
    <t>Amit</t>
  </si>
  <si>
    <t>Priya</t>
  </si>
  <si>
    <t>Marketing</t>
  </si>
  <si>
    <t>Neha</t>
  </si>
  <si>
    <t>Karan</t>
  </si>
  <si>
    <t>Finance</t>
  </si>
  <si>
    <t>Riya</t>
  </si>
  <si>
    <t>Pooja</t>
  </si>
  <si>
    <t>Table 3: Product_Master</t>
  </si>
  <si>
    <t>Product_Name</t>
  </si>
  <si>
    <t>Category</t>
  </si>
  <si>
    <t>Cost_Price</t>
  </si>
  <si>
    <t>Laptop</t>
  </si>
  <si>
    <t>Electronics</t>
  </si>
  <si>
    <t>Monitor</t>
  </si>
  <si>
    <t>Keyboard</t>
  </si>
  <si>
    <t>Accessories</t>
  </si>
  <si>
    <t>Mouse</t>
  </si>
  <si>
    <t>Notebook</t>
  </si>
  <si>
    <t>Stationery</t>
  </si>
  <si>
    <t>Printer</t>
  </si>
  <si>
    <t>Pen</t>
  </si>
  <si>
    <t>Office Chair</t>
  </si>
  <si>
    <t>Furniture</t>
  </si>
  <si>
    <t>Table 4: Sales_Data mein naye calculated columns</t>
  </si>
  <si>
    <t>Sales table mein original 9 columns ke baad ye columns add karna:</t>
  </si>
  <si>
    <t>Column</t>
  </si>
  <si>
    <t>Heading</t>
  </si>
  <si>
    <t>Formula in row 2</t>
  </si>
  <si>
    <t>J</t>
  </si>
  <si>
    <t>Gross_Sales</t>
  </si>
  <si>
    <t>K</t>
  </si>
  <si>
    <t>Discount_Amount</t>
  </si>
  <si>
    <t>L</t>
  </si>
  <si>
    <t>Net_Sales</t>
  </si>
  <si>
    <t>M</t>
  </si>
  <si>
    <t>N</t>
  </si>
  <si>
    <t>O</t>
  </si>
  <si>
    <t>P</t>
  </si>
  <si>
    <t>Total_Cost</t>
  </si>
  <si>
    <t>Q</t>
  </si>
  <si>
    <t>Profit</t>
  </si>
  <si>
    <t>R</t>
  </si>
  <si>
    <t>Month</t>
  </si>
  <si>
    <t>S</t>
  </si>
  <si>
    <t>Order_Status</t>
  </si>
  <si>
    <r>
      <t>Is table mein practice karo:</t>
    </r>
    <r>
      <rPr>
        <sz val="12"/>
        <color rgb="FF0D0D0D"/>
        <rFont val="Segoe UI"/>
        <family val="2"/>
      </rPr>
      <t xml:space="preserve"> </t>
    </r>
    <r>
      <rPr>
        <sz val="10.199999999999999"/>
        <color rgb="FF0D0D0D"/>
        <rFont val="Consolas"/>
        <family val="3"/>
      </rPr>
      <t>SUM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SUMIFS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COUNTIFS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IF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XLOOKUP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VLOOKUP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INDEX-MATCH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IFERROR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TEXT</t>
    </r>
    <r>
      <rPr>
        <sz val="12"/>
        <color rgb="FF0D0D0D"/>
        <rFont val="Segoe UI"/>
        <family val="2"/>
      </rPr>
      <t>, Pivot Table aur charts.</t>
    </r>
  </si>
  <si>
    <r>
      <t>Practice:</t>
    </r>
    <r>
      <rPr>
        <sz val="12"/>
        <color rgb="FF0D0D0D"/>
        <rFont val="Segoe UI"/>
        <family val="2"/>
      </rPr>
      <t xml:space="preserve"> Employee ID se naam fetch karo, department-wise employee count nikalo, sales target vs achievement report banao aur </t>
    </r>
    <r>
      <rPr>
        <sz val="10.199999999999999"/>
        <color rgb="FF0D0D0D"/>
        <rFont val="Consolas"/>
        <family val="3"/>
      </rPr>
      <t>TRIM</t>
    </r>
    <r>
      <rPr>
        <sz val="12"/>
        <color rgb="FF0D0D0D"/>
        <rFont val="Segoe UI"/>
        <family val="2"/>
      </rPr>
      <t xml:space="preserve"> se extra spaces clean karo</t>
    </r>
  </si>
  <si>
    <r>
      <t>Practice:</t>
    </r>
    <r>
      <rPr>
        <sz val="12"/>
        <color rgb="FF0D0D0D"/>
        <rFont val="Segoe UI"/>
        <family val="2"/>
      </rPr>
      <t xml:space="preserve"> Product ID se product name, category aur cost price fetch karo. Phir total cost aur profit calculate karo.</t>
    </r>
  </si>
  <si>
    <t>Excel mein proper structured tables kaise banayein</t>
  </si>
  <si>
    <t>1. Har table ka data copy karke alag worksheet mein paste karo.</t>
  </si>
  <si>
    <r>
      <t xml:space="preserve">2. Data ke andar click karke </t>
    </r>
    <r>
      <rPr>
        <sz val="10.199999999999999"/>
        <color rgb="FF0D0D0D"/>
        <rFont val="Consolas"/>
        <family val="3"/>
      </rPr>
      <t>Ctrl + T</t>
    </r>
    <r>
      <rPr>
        <sz val="12"/>
        <color rgb="FF0D0D0D"/>
        <rFont val="Segoe UI"/>
        <family val="2"/>
      </rPr>
      <t xml:space="preserve"> dabao.</t>
    </r>
  </si>
  <si>
    <r>
      <t>3. My table has headers</t>
    </r>
    <r>
      <rPr>
        <sz val="12"/>
        <color rgb="FF0D0D0D"/>
        <rFont val="Segoe UI"/>
        <family val="2"/>
      </rPr>
      <t xml:space="preserve"> ko tick karo.</t>
    </r>
  </si>
  <si>
    <r>
      <t xml:space="preserve">4. Table Design mein jaakar table ka naam rakho: </t>
    </r>
    <r>
      <rPr>
        <sz val="10.199999999999999"/>
        <color rgb="FF0D0D0D"/>
        <rFont val="Consolas"/>
        <family val="3"/>
      </rPr>
      <t>Sales_Data</t>
    </r>
    <r>
      <rPr>
        <sz val="12"/>
        <color rgb="FF0D0D0D"/>
        <rFont val="Segoe UI"/>
        <family val="2"/>
      </rPr>
      <t xml:space="preserve">, </t>
    </r>
    <r>
      <rPr>
        <sz val="10.199999999999999"/>
        <color rgb="FF0D0D0D"/>
        <rFont val="Consolas"/>
        <family val="3"/>
      </rPr>
      <t>Employee_Master</t>
    </r>
    <r>
      <rPr>
        <sz val="12"/>
        <color rgb="FF0D0D0D"/>
        <rFont val="Segoe UI"/>
        <family val="2"/>
      </rPr>
      <t xml:space="preserve"> aur </t>
    </r>
    <r>
      <rPr>
        <sz val="10.199999999999999"/>
        <color rgb="FF0D0D0D"/>
        <rFont val="Consolas"/>
        <family val="3"/>
      </rPr>
      <t>Product_Master</t>
    </r>
    <r>
      <rPr>
        <sz val="12"/>
        <color rgb="FF0D0D0D"/>
        <rFont val="Segoe UI"/>
        <family val="2"/>
      </rPr>
      <t>.</t>
    </r>
  </si>
  <si>
    <t>5. Formulas ko first data row mein lagao; Excel Table mein aam taur par formula poore column mein automatically fill ho jayega.</t>
  </si>
  <si>
    <r>
      <t>Interview tip:</t>
    </r>
    <r>
      <rPr>
        <sz val="12"/>
        <color rgb="FF0D0D0D"/>
        <rFont val="Segoe UI"/>
        <family val="2"/>
      </rPr>
      <t xml:space="preserve"> </t>
    </r>
    <r>
      <rPr>
        <sz val="10.199999999999999"/>
        <color rgb="FF0D0D0D"/>
        <rFont val="Consolas"/>
        <family val="3"/>
      </rPr>
      <t>Ctrl + T</t>
    </r>
    <r>
      <rPr>
        <sz val="12"/>
        <color rgb="FF0D0D0D"/>
        <rFont val="Segoe UI"/>
        <family val="2"/>
      </rPr>
      <t xml:space="preserve"> se banaye gaye Excel Tables dynamic hote hain. Naya data add karne par table expand ho sakta hai aur structured references formulas ko readable banate hain.</t>
    </r>
  </si>
  <si>
    <t>SUM</t>
  </si>
  <si>
    <t>SUMIFS</t>
  </si>
  <si>
    <t>Q1. Total sales kitni hui?</t>
  </si>
  <si>
    <r>
      <t>SUM</t>
    </r>
    <r>
      <rPr>
        <sz val="12"/>
        <color rgb="FF0D0D0D"/>
        <rFont val="Segoe UI"/>
        <family val="2"/>
      </rPr>
      <t xml:space="preserve"> ka use karke total Net Sales nikalo.</t>
    </r>
  </si>
  <si>
    <t>LEVEL 1 · MUST KNOW</t>
  </si>
  <si>
    <t>Q2. North region ki total sales kitni hain?</t>
  </si>
  <si>
    <r>
      <t>SUMIFS</t>
    </r>
    <r>
      <rPr>
        <sz val="12"/>
        <color rgb="FF0D0D0D"/>
        <rFont val="Segoe UI"/>
        <family val="2"/>
      </rPr>
      <t xml:space="preserve"> ka use karo.</t>
    </r>
  </si>
  <si>
    <t>Q3. Corporate customers ke total orders kitne hain?</t>
  </si>
  <si>
    <r>
      <t>COUNTIF</t>
    </r>
    <r>
      <rPr>
        <sz val="12"/>
        <color rgb="FF0D0D0D"/>
        <rFont val="Segoe UI"/>
        <family val="2"/>
      </rPr>
      <t xml:space="preserve"> ka use karo.</t>
    </r>
  </si>
  <si>
    <t>LEVEL 2 · INTERVIEW FAVORITE</t>
  </si>
  <si>
    <t>Q4. Kis employee ne ₹10,000 se zyada Net Sales wale kitne orders kiye?</t>
  </si>
  <si>
    <r>
      <t>COUNTIFS</t>
    </r>
    <r>
      <rPr>
        <sz val="12"/>
        <color rgb="FF0D0D0D"/>
        <rFont val="Segoe UI"/>
        <family val="2"/>
      </rPr>
      <t xml:space="preserve"> lagao; kisi ek employee ko choose karo.</t>
    </r>
  </si>
  <si>
    <t>Q5. Kaun se orders High Value hain aur kaun se Normal?</t>
  </si>
  <si>
    <r>
      <t>IF</t>
    </r>
    <r>
      <rPr>
        <sz val="12"/>
        <color rgb="FF0D0D0D"/>
        <rFont val="Segoe UI"/>
        <family val="2"/>
      </rPr>
      <t xml:space="preserve"> formula lagao. Phir </t>
    </r>
    <r>
      <rPr>
        <sz val="10.199999999999999"/>
        <color rgb="FF0D0D0D"/>
        <rFont val="Consolas"/>
        <family val="3"/>
      </rPr>
      <t>Conditional Formatting</t>
    </r>
    <r>
      <rPr>
        <sz val="12"/>
        <color rgb="FF0D0D0D"/>
        <rFont val="Segoe UI"/>
        <family val="2"/>
      </rPr>
      <t xml:space="preserve"> se High Value ko highlight karo.</t>
    </r>
  </si>
  <si>
    <t>LEVEL 2 · DATA QUALITY</t>
  </si>
  <si>
    <t>Q6. Employee Master mein extra spaces kaise remove karoge?</t>
  </si>
  <si>
    <r>
      <t>TRIM</t>
    </r>
    <r>
      <rPr>
        <sz val="12"/>
        <color rgb="FF0D0D0D"/>
        <rFont val="Segoe UI"/>
        <family val="2"/>
      </rPr>
      <t xml:space="preserve"> lagao aur cleaned department name ko verify karo.</t>
    </r>
  </si>
  <si>
    <t xml:space="preserve">Total sales </t>
  </si>
  <si>
    <t>Gross Sales</t>
  </si>
  <si>
    <t>Discount Amount</t>
  </si>
  <si>
    <t>Net Sales</t>
  </si>
  <si>
    <t>Product Name</t>
  </si>
  <si>
    <t>Total cost</t>
  </si>
  <si>
    <t xml:space="preserve">Order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</si>
</sst>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sz val="12"/>
      <color rgb="FF0D0D0D"/>
      <name val="Segoe UI"/>
      <family val="2"/>
    </font>
    <font>
      <sz val="18"/>
      <color rgb="FF0D0D0D"/>
      <name val="Segoe UI"/>
      <family val="2"/>
    </font>
    <font>
      <sz val="11"/>
      <color rgb="FF0D0D0D"/>
      <name val="Segoe UI"/>
      <family val="2"/>
    </font>
    <font>
      <sz val="11"/>
      <color rgb="FF0D0D0D"/>
      <name val="Segoe UI"/>
      <family val="2"/>
    </font>
    <font>
      <sz val="10.199999999999999"/>
      <color rgb="FF0D0D0D"/>
      <name val="Consolas"/>
      <family val="3"/>
    </font>
    <font>
      <sz val="11"/>
      <color rgb="FF5D5D5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9" fontId="1" fillId="2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/>
    <xf numFmtId="0" fontId="5" fillId="0" borderId="0" xfId="0" applyFont="1"/>
    <xf numFmtId="0" fontId="0" fillId="0" borderId="0" xfId="0" applyNumberFormat="1" applyFill="1"/>
  </cellXfs>
  <cellStyles count="1">
    <cellStyle name="Normal" xfId="0" builtinId="0"/>
  </cellStyles>
  <dxfs count="4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199999999999999"/>
        <color rgb="FF0D0D0D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DE69F-EB50-44D8-8384-073621D0C2ED}" name="Table1" displayName="Table1" ref="A2:S23" totalsRowCount="1" headerRowCellStyle="Normal" dataCellStyle="Normal">
  <tableColumns count="19">
    <tableColumn id="1" xr3:uid="{49003DBE-BF82-4D4F-9743-C6378F4071A6}" name="Order_ID" totalsRowDxfId="18" dataCellStyle="Normal"/>
    <tableColumn id="2" xr3:uid="{57E30C51-CEF0-43B9-8F52-6DD9CFC6F7EF}" name="Order_Date" totalsRowDxfId="17" dataCellStyle="Normal"/>
    <tableColumn id="3" xr3:uid="{7C6844C2-8F7E-4FF2-8445-7284602688C1}" name="Employee_ID" totalsRowDxfId="16" dataCellStyle="Normal"/>
    <tableColumn id="4" xr3:uid="{A178CE1C-73D2-4F34-90A0-D43E413C24C6}" name="Product_ID" totalsRowDxfId="15" dataCellStyle="Normal"/>
    <tableColumn id="5" xr3:uid="{AD6045B4-BB15-45AC-9413-431310ABB8A6}" name="Region" totalsRowDxfId="14" dataCellStyle="Normal"/>
    <tableColumn id="6" xr3:uid="{F7DD6135-CA77-4F6C-8CB3-EB5919CAA043}" name="Customer_Type" totalsRowDxfId="13" dataCellStyle="Normal"/>
    <tableColumn id="7" xr3:uid="{2319B3B9-B5AA-4B19-BA13-130BE5D75BA7}" name="Quantity" totalsRowDxfId="12" dataCellStyle="Normal"/>
    <tableColumn id="8" xr3:uid="{E0F8F821-4380-4088-A226-70720D743BCB}" name="Unit_Price" totalsRowDxfId="11" dataCellStyle="Normal"/>
    <tableColumn id="9" xr3:uid="{713FBC25-EB18-454C-A1DA-23ADD1FF4BB5}" name="Discount" totalsRowDxfId="10" dataCellStyle="Normal"/>
    <tableColumn id="10" xr3:uid="{1043821A-3930-404B-A793-E4974E1AEF1C}" name="Gross Sales" dataDxfId="25" totalsRowDxfId="9" dataCellStyle="Normal">
      <calculatedColumnFormula>Table1[[#This Row],[Quantity]]*Table1[[#This Row],[Unit_Price]]</calculatedColumnFormula>
    </tableColumn>
    <tableColumn id="11" xr3:uid="{1DDF537C-5327-4324-A6AA-3A9D154FBAF0}" name="Discount Amount" dataDxfId="24" totalsRowDxfId="8" dataCellStyle="Normal">
      <calculatedColumnFormula>Table1[[#This Row],[Discount]]*Table1[[#This Row],[Gross Sales]]</calculatedColumnFormula>
    </tableColumn>
    <tableColumn id="12" xr3:uid="{A65130DA-445A-4BA0-9D5B-7ECAB4AE0B89}" name="Net Sales" dataDxfId="23" totalsRowDxfId="7" dataCellStyle="Normal">
      <calculatedColumnFormula>Table1[[#This Row],[Gross Sales]]-Table1[[#This Row],[Discount]]</calculatedColumnFormula>
    </tableColumn>
    <tableColumn id="13" xr3:uid="{B1293305-C6B5-4046-A59B-DA5C67090075}" name="Employee_Name" dataDxfId="19" totalsRowDxfId="6" dataCellStyle="Normal">
      <calculatedColumnFormula>_xlfn.XLOOKUP(C2,Employee_Master!A:A,Employee_Master!B:B,"Not Found")</calculatedColumnFormula>
    </tableColumn>
    <tableColumn id="14" xr3:uid="{4C3E2128-1696-4B47-A1CB-050E3200987E}" name="Product Name" totalsRowFunction="custom" dataDxfId="22" totalsRowDxfId="5" dataCellStyle="Normal">
      <totalsRowFormula>_xlfn.XLOOKUP(D2,Product_Master!A:A,Product_Master!B:B,"Not Found")</totalsRowFormula>
    </tableColumn>
    <tableColumn id="15" xr3:uid="{F11671CB-E2D2-4DD3-9BA6-4FE6E00B0B20}" name="Category" dataDxfId="21" totalsRowDxfId="4" dataCellStyle="Normal"/>
    <tableColumn id="16" xr3:uid="{EFD12E10-2388-4D79-AB42-76A17B35A485}" name="Total cost" dataDxfId="20" totalsRowDxfId="3" dataCellStyle="Normal"/>
    <tableColumn id="17" xr3:uid="{B15FEC36-5ABB-4CAE-A28B-2F5BB9F42EFD}" name="Profit" totalsRowDxfId="2" dataCellStyle="Normal"/>
    <tableColumn id="18" xr3:uid="{330F709E-4D58-4147-8E9F-91CD05C7DD03}" name="Month" totalsRowDxfId="1" dataCellStyle="Normal"/>
    <tableColumn id="19" xr3:uid="{94A256EA-55CC-401D-BE11-69C1C259A655}" name="Order Status " totalsRowDxfId="0" dataCellStyle="Normal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B6A2A-CD39-4C10-A3AF-AA0C058309FE}" name="Table5" displayName="Table5" ref="A3:E9" totalsRowShown="0" headerRowDxfId="36" dataDxfId="37">
  <autoFilter ref="A3:E9" xr:uid="{6C8B6A2A-CD39-4C10-A3AF-AA0C058309FE}"/>
  <tableColumns count="5">
    <tableColumn id="1" xr3:uid="{D523FA1F-7FBB-45A7-AAA7-70AB1E6540BE}" name="Employee_ID" dataDxfId="42"/>
    <tableColumn id="2" xr3:uid="{2D73FC4B-5D1E-42B3-930C-AADD56D8434F}" name="Employee_Name" dataDxfId="41"/>
    <tableColumn id="3" xr3:uid="{541E8049-F245-42BC-A258-65CE2EDF5C4D}" name="Department" dataDxfId="40"/>
    <tableColumn id="4" xr3:uid="{38EEFF55-52B1-4F75-9A3A-73143EAC22A9}" name="Monthly_Target" dataDxfId="39"/>
    <tableColumn id="5" xr3:uid="{58222FEC-00C4-4E3E-812D-C5FFF34A46C3}" name="Manager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5E733A-45AE-44AC-A973-2AA84DDD7475}" name="Table6" displayName="Table6" ref="A3:D11" totalsRowShown="0" headerRowDxfId="30" dataDxfId="31">
  <autoFilter ref="A3:D11" xr:uid="{795E733A-45AE-44AC-A973-2AA84DDD7475}"/>
  <tableColumns count="4">
    <tableColumn id="1" xr3:uid="{FBE960C7-B20D-43F1-A80C-4D59C43EF2A4}" name="Product_ID" dataDxfId="35"/>
    <tableColumn id="2" xr3:uid="{FAADF228-4F1E-4E37-B96C-313486590DAA}" name="Product_Name" dataDxfId="34"/>
    <tableColumn id="3" xr3:uid="{7840711A-ADA1-4877-812C-923E337088B2}" name="Category" dataDxfId="33"/>
    <tableColumn id="4" xr3:uid="{473E5086-AD4E-4AA4-BBDE-DF839786F426}" name="Cost_Price" dataDxfId="32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213F6C-BF64-4B13-8126-DD33E7A477F3}" name="Table7" displayName="Table7" ref="A4:C14" totalsRowShown="0" headerRowDxfId="26">
  <autoFilter ref="A4:C14" xr:uid="{2A213F6C-BF64-4B13-8126-DD33E7A477F3}"/>
  <tableColumns count="3">
    <tableColumn id="1" xr3:uid="{FD4DE0F7-DC83-4B69-8458-79A1C85E0960}" name="Column" dataDxfId="29"/>
    <tableColumn id="2" xr3:uid="{163BA472-42D9-4633-9D87-7276FEDDC3F5}" name="Heading" dataDxfId="28"/>
    <tableColumn id="3" xr3:uid="{A0C97199-9A11-4CDB-9A4B-CF281BD51973}" name="Formula in row 2" dataDxfId="2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6CCA-30D8-4106-860A-E3E907311E0C}">
  <dimension ref="A2:X44"/>
  <sheetViews>
    <sheetView tabSelected="1" topLeftCell="A4" zoomScale="86" zoomScaleNormal="86" workbookViewId="0">
      <selection activeCell="N2" sqref="N2"/>
    </sheetView>
  </sheetViews>
  <sheetFormatPr defaultRowHeight="15" x14ac:dyDescent="0.25"/>
  <cols>
    <col min="1" max="1" width="15.5703125" customWidth="1"/>
    <col min="2" max="2" width="17.85546875" customWidth="1"/>
    <col min="3" max="3" width="22" customWidth="1"/>
    <col min="4" max="4" width="18.5703125" customWidth="1"/>
    <col min="5" max="5" width="14.85546875" customWidth="1"/>
    <col min="6" max="6" width="22.140625" customWidth="1"/>
    <col min="7" max="7" width="17.42578125" customWidth="1"/>
    <col min="8" max="8" width="19.85546875" customWidth="1"/>
    <col min="9" max="9" width="16.85546875" customWidth="1"/>
    <col min="10" max="10" width="16.28515625" customWidth="1"/>
    <col min="11" max="11" width="20.28515625" customWidth="1"/>
    <col min="12" max="12" width="12.28515625" customWidth="1"/>
    <col min="13" max="13" width="15.5703125" customWidth="1"/>
    <col min="14" max="14" width="17" customWidth="1"/>
    <col min="15" max="15" width="14.28515625" customWidth="1"/>
    <col min="16" max="16" width="15.28515625" customWidth="1"/>
    <col min="17" max="17" width="15" customWidth="1"/>
    <col min="18" max="18" width="15.28515625" customWidth="1"/>
    <col min="19" max="19" width="16.7109375" customWidth="1"/>
    <col min="20" max="20" width="11.5703125" customWidth="1"/>
    <col min="21" max="21" width="13.28515625" customWidth="1"/>
    <col min="22" max="22" width="12.140625" customWidth="1"/>
    <col min="23" max="23" width="13.42578125" customWidth="1"/>
    <col min="24" max="24" width="12.5703125" customWidth="1"/>
  </cols>
  <sheetData>
    <row r="2" spans="1:24" ht="16.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13" t="s">
        <v>149</v>
      </c>
      <c r="K2" s="13" t="s">
        <v>150</v>
      </c>
      <c r="L2" s="13" t="s">
        <v>151</v>
      </c>
      <c r="M2" s="14" t="s">
        <v>69</v>
      </c>
      <c r="N2" s="13" t="s">
        <v>152</v>
      </c>
      <c r="O2" s="13" t="s">
        <v>85</v>
      </c>
      <c r="P2" s="13" t="s">
        <v>153</v>
      </c>
      <c r="Q2" s="13" t="s">
        <v>116</v>
      </c>
      <c r="R2" s="13" t="s">
        <v>118</v>
      </c>
      <c r="S2" s="13" t="s">
        <v>154</v>
      </c>
    </row>
    <row r="3" spans="1:24" ht="17.2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10</v>
      </c>
      <c r="H3">
        <v>1200</v>
      </c>
      <c r="I3">
        <v>0.05</v>
      </c>
      <c r="J3" s="13">
        <f>Table1[[#This Row],[Quantity]]*Table1[[#This Row],[Unit_Price]]</f>
        <v>12000</v>
      </c>
      <c r="K3" s="13">
        <f>Table1[[#This Row],[Discount]]*Table1[[#This Row],[Gross Sales]]</f>
        <v>600</v>
      </c>
      <c r="L3" s="13">
        <f>Table1[[#This Row],[Gross Sales]]-Table1[[#This Row],[Discount]]</f>
        <v>11999.95</v>
      </c>
      <c r="M3" s="7" t="s">
        <v>79</v>
      </c>
      <c r="N3" s="14"/>
      <c r="O3" s="14"/>
      <c r="P3" s="14"/>
      <c r="Q3" s="13"/>
      <c r="R3" s="13"/>
      <c r="S3" s="13"/>
    </row>
    <row r="4" spans="1:24" ht="17.2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25</v>
      </c>
      <c r="H4">
        <v>800</v>
      </c>
      <c r="I4">
        <v>0.1</v>
      </c>
      <c r="J4" s="13">
        <f>Table1[[#This Row],[Quantity]]*Table1[[#This Row],[Unit_Price]]</f>
        <v>20000</v>
      </c>
      <c r="K4" s="13">
        <f>Table1[[#This Row],[Discount]]*Table1[[#This Row],[Gross Sales]]</f>
        <v>2000</v>
      </c>
      <c r="L4" s="13">
        <f>Table1[[#This Row],[Gross Sales]]-Table1[[#This Row],[Discount]]</f>
        <v>19999.900000000001</v>
      </c>
      <c r="M4" s="13" t="str">
        <f>_xlfn.XLOOKUP(C3,Employee_Master!A:A,Employee_Master!B:B,"Not Found")</f>
        <v>Rahul</v>
      </c>
      <c r="N4" s="13"/>
      <c r="O4" s="13"/>
      <c r="P4" s="13"/>
      <c r="Q4" s="13"/>
      <c r="R4" s="13"/>
      <c r="S4" s="13"/>
      <c r="T4" s="1"/>
      <c r="U4" s="1"/>
      <c r="V4" s="1"/>
      <c r="W4" s="1"/>
      <c r="X4" s="1"/>
    </row>
    <row r="5" spans="1:24" ht="17.25" x14ac:dyDescent="0.25">
      <c r="A5" t="s">
        <v>21</v>
      </c>
      <c r="B5" t="s">
        <v>16</v>
      </c>
      <c r="C5" t="s">
        <v>22</v>
      </c>
      <c r="D5" t="s">
        <v>23</v>
      </c>
      <c r="E5" t="s">
        <v>24</v>
      </c>
      <c r="F5" t="s">
        <v>14</v>
      </c>
      <c r="G5">
        <v>8</v>
      </c>
      <c r="H5">
        <v>1500</v>
      </c>
      <c r="I5">
        <v>0</v>
      </c>
      <c r="J5" s="13">
        <f>Table1[[#This Row],[Quantity]]*Table1[[#This Row],[Unit_Price]]</f>
        <v>12000</v>
      </c>
      <c r="K5" s="13">
        <f>Table1[[#This Row],[Discount]]*Table1[[#This Row],[Gross Sales]]</f>
        <v>0</v>
      </c>
      <c r="L5" s="13">
        <f>Table1[[#This Row],[Gross Sales]]-Table1[[#This Row],[Discount]]</f>
        <v>12000</v>
      </c>
      <c r="M5" s="13" t="str">
        <f>_xlfn.XLOOKUP(C4,Employee_Master!A:A,Employee_Master!B:B,"Not Found")</f>
        <v>Priya</v>
      </c>
      <c r="N5" s="13"/>
      <c r="O5" s="13"/>
      <c r="P5" s="13"/>
      <c r="Q5" s="13"/>
      <c r="R5" s="13"/>
      <c r="S5" s="13"/>
      <c r="T5" s="2"/>
      <c r="U5" s="2"/>
      <c r="V5" s="2"/>
      <c r="W5" s="2"/>
      <c r="X5" s="3"/>
    </row>
    <row r="6" spans="1:24" ht="17.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20</v>
      </c>
      <c r="G6">
        <v>15</v>
      </c>
      <c r="H6">
        <v>600</v>
      </c>
      <c r="I6">
        <v>0.05</v>
      </c>
      <c r="J6" s="13">
        <f>Table1[[#This Row],[Quantity]]*Table1[[#This Row],[Unit_Price]]</f>
        <v>9000</v>
      </c>
      <c r="K6" s="13">
        <f>Table1[[#This Row],[Discount]]*Table1[[#This Row],[Gross Sales]]</f>
        <v>450</v>
      </c>
      <c r="L6" s="13">
        <f>Table1[[#This Row],[Gross Sales]]-Table1[[#This Row],[Discount]]</f>
        <v>8999.9500000000007</v>
      </c>
      <c r="M6" s="13" t="str">
        <f>_xlfn.XLOOKUP(C5,Employee_Master!A:A,Employee_Master!B:B,"Not Found")</f>
        <v>Amit</v>
      </c>
      <c r="N6" s="13"/>
      <c r="O6" s="13"/>
      <c r="P6" s="13"/>
      <c r="Q6" s="13"/>
      <c r="R6" s="13"/>
      <c r="S6" s="13"/>
      <c r="T6" s="2"/>
      <c r="U6" s="2"/>
      <c r="V6" s="2"/>
      <c r="W6" s="2"/>
      <c r="X6" s="3"/>
    </row>
    <row r="7" spans="1:24" ht="17.25" x14ac:dyDescent="0.25">
      <c r="A7" t="s">
        <v>30</v>
      </c>
      <c r="B7" t="s">
        <v>31</v>
      </c>
      <c r="C7" t="s">
        <v>11</v>
      </c>
      <c r="D7" t="s">
        <v>32</v>
      </c>
      <c r="E7" t="s">
        <v>13</v>
      </c>
      <c r="F7" t="s">
        <v>14</v>
      </c>
      <c r="G7">
        <v>30</v>
      </c>
      <c r="H7">
        <v>250</v>
      </c>
      <c r="I7">
        <v>0</v>
      </c>
      <c r="J7" s="13">
        <f>Table1[[#This Row],[Quantity]]*Table1[[#This Row],[Unit_Price]]</f>
        <v>7500</v>
      </c>
      <c r="K7" s="13">
        <f>Table1[[#This Row],[Discount]]*Table1[[#This Row],[Gross Sales]]</f>
        <v>0</v>
      </c>
      <c r="L7" s="13">
        <f>Table1[[#This Row],[Gross Sales]]-Table1[[#This Row],[Discount]]</f>
        <v>7500</v>
      </c>
      <c r="M7" s="13" t="str">
        <f>_xlfn.XLOOKUP(C6,Employee_Master!A:A,Employee_Master!B:B,"Not Found")</f>
        <v>Neha</v>
      </c>
      <c r="N7" s="13"/>
      <c r="O7" s="13"/>
      <c r="P7" s="13"/>
      <c r="Q7" s="13"/>
      <c r="R7" s="13"/>
      <c r="S7" s="13"/>
      <c r="T7" s="2"/>
      <c r="U7" s="2"/>
      <c r="V7" s="2"/>
      <c r="W7" s="2"/>
      <c r="X7" s="3"/>
    </row>
    <row r="8" spans="1:24" ht="17.25" x14ac:dyDescent="0.25">
      <c r="A8" t="s">
        <v>33</v>
      </c>
      <c r="B8" t="s">
        <v>34</v>
      </c>
      <c r="C8" t="s">
        <v>35</v>
      </c>
      <c r="D8" t="s">
        <v>36</v>
      </c>
      <c r="E8" t="s">
        <v>19</v>
      </c>
      <c r="F8" t="s">
        <v>20</v>
      </c>
      <c r="G8">
        <v>12</v>
      </c>
      <c r="H8">
        <v>2200</v>
      </c>
      <c r="I8">
        <v>0.15</v>
      </c>
      <c r="J8" s="13">
        <f>Table1[[#This Row],[Quantity]]*Table1[[#This Row],[Unit_Price]]</f>
        <v>26400</v>
      </c>
      <c r="K8" s="13">
        <f>Table1[[#This Row],[Discount]]*Table1[[#This Row],[Gross Sales]]</f>
        <v>3960</v>
      </c>
      <c r="L8" s="13">
        <f>Table1[[#This Row],[Gross Sales]]-Table1[[#This Row],[Discount]]</f>
        <v>26399.85</v>
      </c>
      <c r="M8" s="13" t="str">
        <f>_xlfn.XLOOKUP(C7,Employee_Master!A:A,Employee_Master!B:B,"Not Found")</f>
        <v>Rahul</v>
      </c>
      <c r="N8" s="13"/>
      <c r="O8" s="13"/>
      <c r="P8" s="13"/>
      <c r="Q8" s="13"/>
      <c r="R8" s="13"/>
      <c r="S8" s="13"/>
      <c r="T8" s="2"/>
      <c r="U8" s="2"/>
      <c r="V8" s="2"/>
      <c r="W8" s="2"/>
      <c r="X8" s="3"/>
    </row>
    <row r="9" spans="1:24" ht="17.25" x14ac:dyDescent="0.25">
      <c r="A9" t="s">
        <v>37</v>
      </c>
      <c r="B9" t="s">
        <v>38</v>
      </c>
      <c r="C9" t="s">
        <v>17</v>
      </c>
      <c r="D9" t="s">
        <v>12</v>
      </c>
      <c r="E9" t="s">
        <v>24</v>
      </c>
      <c r="F9" t="s">
        <v>14</v>
      </c>
      <c r="G9">
        <v>6</v>
      </c>
      <c r="H9">
        <v>1200</v>
      </c>
      <c r="I9">
        <v>0.05</v>
      </c>
      <c r="J9" s="13">
        <f>Table1[[#This Row],[Quantity]]*Table1[[#This Row],[Unit_Price]]</f>
        <v>7200</v>
      </c>
      <c r="K9" s="13">
        <f>Table1[[#This Row],[Discount]]*Table1[[#This Row],[Gross Sales]]</f>
        <v>360</v>
      </c>
      <c r="L9" s="13">
        <f>Table1[[#This Row],[Gross Sales]]-Table1[[#This Row],[Discount]]</f>
        <v>7199.95</v>
      </c>
      <c r="M9" s="13" t="str">
        <f>_xlfn.XLOOKUP(C8,Employee_Master!A:A,Employee_Master!B:B,"Not Found")</f>
        <v>Karan</v>
      </c>
      <c r="N9" s="13"/>
      <c r="O9" s="13"/>
      <c r="P9" s="13"/>
      <c r="Q9" s="13"/>
      <c r="R9" s="13"/>
      <c r="S9" s="13"/>
      <c r="T9" s="2"/>
      <c r="U9" s="2"/>
      <c r="V9" s="2"/>
      <c r="W9" s="2"/>
      <c r="X9" s="3"/>
    </row>
    <row r="10" spans="1:24" ht="17.25" x14ac:dyDescent="0.25">
      <c r="A10" t="s">
        <v>39</v>
      </c>
      <c r="B10" t="s">
        <v>40</v>
      </c>
      <c r="C10" t="s">
        <v>41</v>
      </c>
      <c r="D10" t="s">
        <v>42</v>
      </c>
      <c r="E10" t="s">
        <v>29</v>
      </c>
      <c r="F10" t="s">
        <v>14</v>
      </c>
      <c r="G10">
        <v>40</v>
      </c>
      <c r="H10">
        <v>150</v>
      </c>
      <c r="I10">
        <v>0</v>
      </c>
      <c r="J10" s="13">
        <f>Table1[[#This Row],[Quantity]]*Table1[[#This Row],[Unit_Price]]</f>
        <v>6000</v>
      </c>
      <c r="K10" s="13">
        <f>Table1[[#This Row],[Discount]]*Table1[[#This Row],[Gross Sales]]</f>
        <v>0</v>
      </c>
      <c r="L10" s="13">
        <f>Table1[[#This Row],[Gross Sales]]-Table1[[#This Row],[Discount]]</f>
        <v>6000</v>
      </c>
      <c r="M10" s="13" t="str">
        <f>_xlfn.XLOOKUP(C9,Employee_Master!A:A,Employee_Master!B:B,"Not Found")</f>
        <v>Priya</v>
      </c>
      <c r="N10" s="13"/>
      <c r="O10" s="13"/>
      <c r="P10" s="13"/>
      <c r="Q10" s="13"/>
      <c r="R10" s="13"/>
      <c r="S10" s="13"/>
      <c r="T10" s="2"/>
      <c r="U10" s="2"/>
      <c r="V10" s="2"/>
      <c r="W10" s="2"/>
      <c r="X10" s="3"/>
    </row>
    <row r="11" spans="1:24" ht="17.25" x14ac:dyDescent="0.25">
      <c r="A11" t="s">
        <v>43</v>
      </c>
      <c r="B11" t="s">
        <v>44</v>
      </c>
      <c r="C11" t="s">
        <v>22</v>
      </c>
      <c r="D11" t="s">
        <v>18</v>
      </c>
      <c r="E11" t="s">
        <v>13</v>
      </c>
      <c r="F11" t="s">
        <v>20</v>
      </c>
      <c r="G11">
        <v>20</v>
      </c>
      <c r="H11">
        <v>800</v>
      </c>
      <c r="I11">
        <v>0.1</v>
      </c>
      <c r="J11" s="13">
        <f>Table1[[#This Row],[Quantity]]*Table1[[#This Row],[Unit_Price]]</f>
        <v>16000</v>
      </c>
      <c r="K11" s="13">
        <f>Table1[[#This Row],[Discount]]*Table1[[#This Row],[Gross Sales]]</f>
        <v>1600</v>
      </c>
      <c r="L11" s="13">
        <f>Table1[[#This Row],[Gross Sales]]-Table1[[#This Row],[Discount]]</f>
        <v>15999.9</v>
      </c>
      <c r="M11" s="13" t="str">
        <f>_xlfn.XLOOKUP(C10,Employee_Master!A:A,Employee_Master!B:B,"Not Found")</f>
        <v>Pooja</v>
      </c>
      <c r="N11" s="13"/>
      <c r="O11" s="13"/>
      <c r="P11" s="13"/>
      <c r="Q11" s="13"/>
      <c r="R11" s="13"/>
      <c r="S11" s="13"/>
      <c r="T11" s="2"/>
      <c r="U11" s="2"/>
      <c r="V11" s="2"/>
      <c r="W11" s="2"/>
      <c r="X11" s="3"/>
    </row>
    <row r="12" spans="1:24" ht="17.25" x14ac:dyDescent="0.25">
      <c r="A12" t="s">
        <v>45</v>
      </c>
      <c r="B12" t="s">
        <v>46</v>
      </c>
      <c r="C12" t="s">
        <v>27</v>
      </c>
      <c r="D12" t="s">
        <v>47</v>
      </c>
      <c r="E12" t="s">
        <v>19</v>
      </c>
      <c r="F12" t="s">
        <v>14</v>
      </c>
      <c r="G12">
        <v>5</v>
      </c>
      <c r="H12">
        <v>3000</v>
      </c>
      <c r="I12">
        <v>0.05</v>
      </c>
      <c r="J12" s="13">
        <f>Table1[[#This Row],[Quantity]]*Table1[[#This Row],[Unit_Price]]</f>
        <v>15000</v>
      </c>
      <c r="K12" s="13">
        <f>Table1[[#This Row],[Discount]]*Table1[[#This Row],[Gross Sales]]</f>
        <v>750</v>
      </c>
      <c r="L12" s="13">
        <f>Table1[[#This Row],[Gross Sales]]-Table1[[#This Row],[Discount]]</f>
        <v>14999.95</v>
      </c>
      <c r="M12" s="13" t="str">
        <f>_xlfn.XLOOKUP(C11,Employee_Master!A:A,Employee_Master!B:B,"Not Found")</f>
        <v>Amit</v>
      </c>
      <c r="N12" s="13"/>
      <c r="O12" s="13"/>
      <c r="P12" s="13"/>
      <c r="Q12" s="13"/>
      <c r="R12" s="13"/>
      <c r="S12" s="13"/>
      <c r="T12" s="2"/>
      <c r="U12" s="2"/>
      <c r="V12" s="2"/>
      <c r="W12" s="2"/>
      <c r="X12" s="3"/>
    </row>
    <row r="13" spans="1:24" ht="17.25" x14ac:dyDescent="0.25">
      <c r="A13" t="s">
        <v>48</v>
      </c>
      <c r="B13" t="s">
        <v>49</v>
      </c>
      <c r="C13" t="s">
        <v>35</v>
      </c>
      <c r="D13" t="s">
        <v>23</v>
      </c>
      <c r="E13" t="s">
        <v>24</v>
      </c>
      <c r="F13" t="s">
        <v>20</v>
      </c>
      <c r="G13">
        <v>14</v>
      </c>
      <c r="H13">
        <v>1500</v>
      </c>
      <c r="I13">
        <v>0.1</v>
      </c>
      <c r="J13" s="13">
        <f>Table1[[#This Row],[Quantity]]*Table1[[#This Row],[Unit_Price]]</f>
        <v>21000</v>
      </c>
      <c r="K13" s="13">
        <f>Table1[[#This Row],[Discount]]*Table1[[#This Row],[Gross Sales]]</f>
        <v>2100</v>
      </c>
      <c r="L13" s="13">
        <f>Table1[[#This Row],[Gross Sales]]-Table1[[#This Row],[Discount]]</f>
        <v>20999.9</v>
      </c>
      <c r="M13" s="13" t="str">
        <f>_xlfn.XLOOKUP(C12,Employee_Master!A:A,Employee_Master!B:B,"Not Found")</f>
        <v>Neha</v>
      </c>
      <c r="N13" s="13"/>
      <c r="O13" s="13"/>
      <c r="P13" s="13"/>
      <c r="Q13" s="13"/>
      <c r="R13" s="13"/>
      <c r="S13" s="13"/>
      <c r="T13" s="2"/>
      <c r="U13" s="2"/>
      <c r="V13" s="2"/>
      <c r="W13" s="2"/>
      <c r="X13" s="3"/>
    </row>
    <row r="14" spans="1:24" ht="17.25" x14ac:dyDescent="0.25">
      <c r="A14" t="s">
        <v>50</v>
      </c>
      <c r="B14" t="s">
        <v>51</v>
      </c>
      <c r="C14" t="s">
        <v>11</v>
      </c>
      <c r="D14" t="s">
        <v>28</v>
      </c>
      <c r="E14" t="s">
        <v>29</v>
      </c>
      <c r="F14" t="s">
        <v>14</v>
      </c>
      <c r="G14">
        <v>22</v>
      </c>
      <c r="H14">
        <v>600</v>
      </c>
      <c r="I14">
        <v>0</v>
      </c>
      <c r="J14" s="13">
        <f>Table1[[#This Row],[Quantity]]*Table1[[#This Row],[Unit_Price]]</f>
        <v>13200</v>
      </c>
      <c r="K14" s="13">
        <f>Table1[[#This Row],[Discount]]*Table1[[#This Row],[Gross Sales]]</f>
        <v>0</v>
      </c>
      <c r="L14" s="13">
        <f>Table1[[#This Row],[Gross Sales]]-Table1[[#This Row],[Discount]]</f>
        <v>13200</v>
      </c>
      <c r="M14" s="13" t="str">
        <f>_xlfn.XLOOKUP(C13,Employee_Master!A:A,Employee_Master!B:B,"Not Found")</f>
        <v>Karan</v>
      </c>
      <c r="N14" s="13"/>
      <c r="O14" s="13"/>
      <c r="P14" s="13"/>
      <c r="Q14" s="13"/>
      <c r="R14" s="13"/>
      <c r="S14" s="13"/>
      <c r="T14" s="2"/>
      <c r="U14" s="2"/>
      <c r="V14" s="2"/>
      <c r="W14" s="2"/>
      <c r="X14" s="3"/>
    </row>
    <row r="15" spans="1:24" ht="17.25" x14ac:dyDescent="0.25">
      <c r="A15" t="s">
        <v>52</v>
      </c>
      <c r="B15" t="s">
        <v>53</v>
      </c>
      <c r="C15" t="s">
        <v>41</v>
      </c>
      <c r="D15" t="s">
        <v>32</v>
      </c>
      <c r="E15" t="s">
        <v>13</v>
      </c>
      <c r="F15" t="s">
        <v>20</v>
      </c>
      <c r="G15">
        <v>50</v>
      </c>
      <c r="H15">
        <v>250</v>
      </c>
      <c r="I15">
        <v>0.05</v>
      </c>
      <c r="J15" s="13">
        <f>Table1[[#This Row],[Quantity]]*Table1[[#This Row],[Unit_Price]]</f>
        <v>12500</v>
      </c>
      <c r="K15" s="13">
        <f>Table1[[#This Row],[Discount]]*Table1[[#This Row],[Gross Sales]]</f>
        <v>625</v>
      </c>
      <c r="L15" s="13">
        <f>Table1[[#This Row],[Gross Sales]]-Table1[[#This Row],[Discount]]</f>
        <v>12499.95</v>
      </c>
      <c r="M15" s="13" t="str">
        <f>_xlfn.XLOOKUP(C14,Employee_Master!A:A,Employee_Master!B:B,"Not Found")</f>
        <v>Rahul</v>
      </c>
      <c r="N15" s="13"/>
      <c r="O15" s="13"/>
      <c r="P15" s="13"/>
      <c r="Q15" s="13"/>
      <c r="R15" s="13"/>
      <c r="S15" s="13"/>
      <c r="T15" s="2"/>
      <c r="U15" s="2"/>
      <c r="V15" s="2"/>
      <c r="W15" s="2"/>
      <c r="X15" s="3"/>
    </row>
    <row r="16" spans="1:24" ht="17.25" x14ac:dyDescent="0.25">
      <c r="A16" t="s">
        <v>54</v>
      </c>
      <c r="B16" t="s">
        <v>55</v>
      </c>
      <c r="C16" t="s">
        <v>17</v>
      </c>
      <c r="D16" t="s">
        <v>36</v>
      </c>
      <c r="E16" t="s">
        <v>19</v>
      </c>
      <c r="F16" t="s">
        <v>14</v>
      </c>
      <c r="G16">
        <v>7</v>
      </c>
      <c r="H16">
        <v>2200</v>
      </c>
      <c r="I16">
        <v>0</v>
      </c>
      <c r="J16" s="13">
        <f>Table1[[#This Row],[Quantity]]*Table1[[#This Row],[Unit_Price]]</f>
        <v>15400</v>
      </c>
      <c r="K16" s="13">
        <f>Table1[[#This Row],[Discount]]*Table1[[#This Row],[Gross Sales]]</f>
        <v>0</v>
      </c>
      <c r="L16" s="13">
        <f>Table1[[#This Row],[Gross Sales]]-Table1[[#This Row],[Discount]]</f>
        <v>15400</v>
      </c>
      <c r="M16" s="13" t="str">
        <f>_xlfn.XLOOKUP(C15,Employee_Master!A:A,Employee_Master!B:B,"Not Found")</f>
        <v>Pooja</v>
      </c>
      <c r="N16" s="13"/>
      <c r="O16" s="13"/>
      <c r="P16" s="13"/>
      <c r="Q16" s="13"/>
      <c r="R16" s="13"/>
      <c r="S16" s="13"/>
      <c r="T16" s="2"/>
      <c r="U16" s="2"/>
      <c r="V16" s="2"/>
      <c r="W16" s="2"/>
      <c r="X16" s="3"/>
    </row>
    <row r="17" spans="1:24" ht="17.25" x14ac:dyDescent="0.25">
      <c r="A17" t="s">
        <v>56</v>
      </c>
      <c r="B17" t="s">
        <v>57</v>
      </c>
      <c r="C17" t="s">
        <v>22</v>
      </c>
      <c r="D17" t="s">
        <v>42</v>
      </c>
      <c r="E17" t="s">
        <v>24</v>
      </c>
      <c r="F17" t="s">
        <v>14</v>
      </c>
      <c r="G17">
        <v>60</v>
      </c>
      <c r="H17">
        <v>150</v>
      </c>
      <c r="I17">
        <v>0.05</v>
      </c>
      <c r="J17" s="13">
        <f>Table1[[#This Row],[Quantity]]*Table1[[#This Row],[Unit_Price]]</f>
        <v>9000</v>
      </c>
      <c r="K17" s="13">
        <f>Table1[[#This Row],[Discount]]*Table1[[#This Row],[Gross Sales]]</f>
        <v>450</v>
      </c>
      <c r="L17" s="13">
        <f>Table1[[#This Row],[Gross Sales]]-Table1[[#This Row],[Discount]]</f>
        <v>8999.9500000000007</v>
      </c>
      <c r="M17" s="13" t="str">
        <f>_xlfn.XLOOKUP(C16,Employee_Master!A:A,Employee_Master!B:B,"Not Found")</f>
        <v>Priya</v>
      </c>
      <c r="N17" s="13"/>
      <c r="O17" s="13"/>
      <c r="P17" s="13"/>
      <c r="Q17" s="13"/>
      <c r="R17" s="13"/>
      <c r="S17" s="13"/>
      <c r="T17" s="2"/>
      <c r="U17" s="2"/>
      <c r="V17" s="2"/>
      <c r="W17" s="2"/>
      <c r="X17" s="3"/>
    </row>
    <row r="18" spans="1:24" ht="17.25" x14ac:dyDescent="0.25">
      <c r="A18" t="s">
        <v>58</v>
      </c>
      <c r="B18" t="s">
        <v>59</v>
      </c>
      <c r="C18" t="s">
        <v>27</v>
      </c>
      <c r="D18" t="s">
        <v>47</v>
      </c>
      <c r="E18" t="s">
        <v>29</v>
      </c>
      <c r="F18" t="s">
        <v>20</v>
      </c>
      <c r="G18">
        <v>9</v>
      </c>
      <c r="H18">
        <v>3000</v>
      </c>
      <c r="I18">
        <v>0.1</v>
      </c>
      <c r="J18" s="13">
        <f>Table1[[#This Row],[Quantity]]*Table1[[#This Row],[Unit_Price]]</f>
        <v>27000</v>
      </c>
      <c r="K18" s="13">
        <f>Table1[[#This Row],[Discount]]*Table1[[#This Row],[Gross Sales]]</f>
        <v>2700</v>
      </c>
      <c r="L18" s="13">
        <f>Table1[[#This Row],[Gross Sales]]-Table1[[#This Row],[Discount]]</f>
        <v>26999.9</v>
      </c>
      <c r="M18" s="13" t="str">
        <f>_xlfn.XLOOKUP(C17,Employee_Master!A:A,Employee_Master!B:B,"Not Found")</f>
        <v>Amit</v>
      </c>
      <c r="N18" s="13"/>
      <c r="O18" s="13"/>
      <c r="P18" s="13"/>
      <c r="Q18" s="13"/>
      <c r="R18" s="13"/>
      <c r="S18" s="13"/>
      <c r="T18" s="2"/>
      <c r="U18" s="2"/>
      <c r="V18" s="2"/>
      <c r="W18" s="2"/>
      <c r="X18" s="3"/>
    </row>
    <row r="19" spans="1:24" ht="17.25" x14ac:dyDescent="0.25">
      <c r="A19" t="s">
        <v>60</v>
      </c>
      <c r="B19" t="s">
        <v>61</v>
      </c>
      <c r="C19" t="s">
        <v>35</v>
      </c>
      <c r="D19" t="s">
        <v>12</v>
      </c>
      <c r="E19" t="s">
        <v>13</v>
      </c>
      <c r="F19" t="s">
        <v>20</v>
      </c>
      <c r="G19">
        <v>18</v>
      </c>
      <c r="H19">
        <v>1200</v>
      </c>
      <c r="I19">
        <v>0.1</v>
      </c>
      <c r="J19" s="13">
        <f>Table1[[#This Row],[Quantity]]*Table1[[#This Row],[Unit_Price]]</f>
        <v>21600</v>
      </c>
      <c r="K19" s="13">
        <f>Table1[[#This Row],[Discount]]*Table1[[#This Row],[Gross Sales]]</f>
        <v>2160</v>
      </c>
      <c r="L19" s="13">
        <f>Table1[[#This Row],[Gross Sales]]-Table1[[#This Row],[Discount]]</f>
        <v>21599.9</v>
      </c>
      <c r="M19" s="13" t="str">
        <f>_xlfn.XLOOKUP(C18,Employee_Master!A:A,Employee_Master!B:B,"Not Found")</f>
        <v>Neha</v>
      </c>
      <c r="N19" s="13"/>
      <c r="O19" s="13"/>
      <c r="P19" s="13"/>
      <c r="Q19" s="13"/>
      <c r="R19" s="13"/>
      <c r="S19" s="13"/>
      <c r="T19" s="2"/>
      <c r="U19" s="2"/>
      <c r="V19" s="2"/>
      <c r="W19" s="2"/>
      <c r="X19" s="3"/>
    </row>
    <row r="20" spans="1:24" ht="17.25" x14ac:dyDescent="0.25">
      <c r="A20" t="s">
        <v>62</v>
      </c>
      <c r="B20" t="s">
        <v>63</v>
      </c>
      <c r="C20" t="s">
        <v>41</v>
      </c>
      <c r="D20" t="s">
        <v>23</v>
      </c>
      <c r="E20" t="s">
        <v>19</v>
      </c>
      <c r="F20" t="s">
        <v>14</v>
      </c>
      <c r="G20">
        <v>11</v>
      </c>
      <c r="H20">
        <v>1500</v>
      </c>
      <c r="I20">
        <v>0.05</v>
      </c>
      <c r="J20" s="13">
        <f>Table1[[#This Row],[Quantity]]*Table1[[#This Row],[Unit_Price]]</f>
        <v>16500</v>
      </c>
      <c r="K20" s="13">
        <f>Table1[[#This Row],[Discount]]*Table1[[#This Row],[Gross Sales]]</f>
        <v>825</v>
      </c>
      <c r="L20" s="13">
        <f>Table1[[#This Row],[Gross Sales]]-Table1[[#This Row],[Discount]]</f>
        <v>16499.95</v>
      </c>
      <c r="M20" s="13" t="str">
        <f>_xlfn.XLOOKUP(C19,Employee_Master!A:A,Employee_Master!B:B,"Not Found")</f>
        <v>Karan</v>
      </c>
      <c r="N20" s="13"/>
      <c r="O20" s="13"/>
      <c r="P20" s="13"/>
      <c r="Q20" s="13"/>
      <c r="R20" s="13"/>
      <c r="S20" s="13"/>
      <c r="T20" s="2"/>
      <c r="U20" s="2"/>
      <c r="V20" s="2"/>
      <c r="W20" s="2"/>
      <c r="X20" s="3"/>
    </row>
    <row r="21" spans="1:24" ht="17.25" x14ac:dyDescent="0.25">
      <c r="A21" t="s">
        <v>64</v>
      </c>
      <c r="B21" t="s">
        <v>65</v>
      </c>
      <c r="C21" t="s">
        <v>11</v>
      </c>
      <c r="D21" t="s">
        <v>18</v>
      </c>
      <c r="E21" t="s">
        <v>24</v>
      </c>
      <c r="F21" t="s">
        <v>20</v>
      </c>
      <c r="G21">
        <v>32</v>
      </c>
      <c r="H21">
        <v>800</v>
      </c>
      <c r="I21">
        <v>0</v>
      </c>
      <c r="J21" s="13">
        <f>Table1[[#This Row],[Quantity]]*Table1[[#This Row],[Unit_Price]]</f>
        <v>25600</v>
      </c>
      <c r="K21" s="13">
        <f>Table1[[#This Row],[Discount]]*Table1[[#This Row],[Gross Sales]]</f>
        <v>0</v>
      </c>
      <c r="L21" s="13">
        <f>Table1[[#This Row],[Gross Sales]]-Table1[[#This Row],[Discount]]</f>
        <v>25600</v>
      </c>
      <c r="M21" s="13" t="str">
        <f>_xlfn.XLOOKUP(C20,Employee_Master!A:A,Employee_Master!B:B,"Not Found")</f>
        <v>Pooja</v>
      </c>
      <c r="N21" s="13"/>
      <c r="O21" s="13"/>
      <c r="P21" s="13"/>
      <c r="Q21" s="13"/>
      <c r="R21" s="13"/>
      <c r="S21" s="13"/>
      <c r="T21" s="2"/>
      <c r="U21" s="2"/>
      <c r="V21" s="2"/>
      <c r="W21" s="2"/>
      <c r="X21" s="3"/>
    </row>
    <row r="22" spans="1:24" ht="17.25" x14ac:dyDescent="0.25">
      <c r="A22" t="s">
        <v>66</v>
      </c>
      <c r="B22" t="s">
        <v>67</v>
      </c>
      <c r="C22" t="s">
        <v>17</v>
      </c>
      <c r="D22" t="s">
        <v>28</v>
      </c>
      <c r="E22" t="s">
        <v>29</v>
      </c>
      <c r="F22" t="s">
        <v>14</v>
      </c>
      <c r="G22">
        <v>16</v>
      </c>
      <c r="H22">
        <v>600</v>
      </c>
      <c r="I22">
        <v>0.05</v>
      </c>
      <c r="J22" s="13">
        <f>Table1[[#This Row],[Quantity]]*Table1[[#This Row],[Unit_Price]]</f>
        <v>9600</v>
      </c>
      <c r="K22" s="13">
        <f>Table1[[#This Row],[Discount]]*Table1[[#This Row],[Gross Sales]]</f>
        <v>480</v>
      </c>
      <c r="L22" s="13">
        <f>Table1[[#This Row],[Gross Sales]]-Table1[[#This Row],[Discount]]</f>
        <v>9599.9500000000007</v>
      </c>
      <c r="M22" s="13" t="str">
        <f>_xlfn.XLOOKUP(C21,Employee_Master!A:A,Employee_Master!B:B,"Not Found")</f>
        <v>Rahul</v>
      </c>
      <c r="N22" s="13"/>
      <c r="O22" s="13"/>
      <c r="P22" s="13"/>
      <c r="Q22" s="13"/>
      <c r="R22" s="13"/>
      <c r="S22" s="13"/>
      <c r="T22" s="2"/>
      <c r="U22" s="2"/>
      <c r="V22" s="2"/>
      <c r="W22" s="2"/>
      <c r="X22" s="3"/>
    </row>
    <row r="23" spans="1:24" ht="17.25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5"/>
      <c r="K23" s="15"/>
      <c r="L23" s="15"/>
      <c r="M23" s="15"/>
      <c r="N23" s="15" t="str">
        <f>_xlfn.XLOOKUP(D2,Product_Master!A:A,Product_Master!B:B,"Not Found")</f>
        <v>Product_Name</v>
      </c>
      <c r="O23" s="15"/>
      <c r="P23" s="15"/>
      <c r="Q23" s="13"/>
      <c r="R23" s="13"/>
      <c r="S23" s="13"/>
      <c r="T23" s="2"/>
      <c r="U23" s="2"/>
      <c r="V23" s="2"/>
      <c r="W23" s="2"/>
      <c r="X23" s="3"/>
    </row>
    <row r="24" spans="1:24" ht="17.25" x14ac:dyDescent="0.25">
      <c r="G24">
        <f>SUM(G3:G22)</f>
        <v>410</v>
      </c>
      <c r="N24" s="15" t="str">
        <f>_xlfn.XLOOKUP(D3,Product_Master!A:A,Product_Master!B:B,"Not Found")</f>
        <v>Laptop</v>
      </c>
      <c r="P24" s="2"/>
      <c r="Q24" s="2"/>
      <c r="R24" s="2"/>
      <c r="S24" s="2"/>
      <c r="T24" s="2"/>
      <c r="U24" s="2"/>
      <c r="V24" s="2"/>
      <c r="W24" s="2"/>
      <c r="X24" s="3"/>
    </row>
    <row r="25" spans="1:24" ht="17.25" x14ac:dyDescent="0.25">
      <c r="A25" s="2" t="s">
        <v>131</v>
      </c>
      <c r="N25" s="15" t="str">
        <f>_xlfn.XLOOKUP(D4,Product_Master!A:A,Product_Master!B:B,"Not Found")</f>
        <v>Keyboard</v>
      </c>
    </row>
    <row r="26" spans="1:24" ht="17.25" x14ac:dyDescent="0.25">
      <c r="A26" s="2" t="s">
        <v>132</v>
      </c>
      <c r="N26" s="15" t="str">
        <f>_xlfn.XLOOKUP(D5,Product_Master!A:A,Product_Master!B:B,"Not Found")</f>
        <v>Monitor</v>
      </c>
    </row>
    <row r="27" spans="1:24" ht="17.25" x14ac:dyDescent="0.3">
      <c r="H27" t="s">
        <v>148</v>
      </c>
      <c r="N27" s="15" t="str">
        <f>_xlfn.XLOOKUP(D6,Product_Master!A:A,Product_Master!B:B,"Not Found")</f>
        <v>Mouse</v>
      </c>
      <c r="P27" s="9" t="s">
        <v>121</v>
      </c>
    </row>
    <row r="28" spans="1:24" ht="17.25" x14ac:dyDescent="0.25">
      <c r="A28" s="10" t="s">
        <v>133</v>
      </c>
      <c r="N28" s="15" t="str">
        <f>_xlfn.XLOOKUP(D7,Product_Master!A:A,Product_Master!B:B,"Not Found")</f>
        <v>Notebook</v>
      </c>
    </row>
    <row r="29" spans="1:24" ht="17.25" x14ac:dyDescent="0.25">
      <c r="A29" s="11" t="s">
        <v>134</v>
      </c>
      <c r="N29" s="15" t="str">
        <f>_xlfn.XLOOKUP(D8,Product_Master!A:A,Product_Master!B:B,"Not Found")</f>
        <v>Printer</v>
      </c>
    </row>
    <row r="30" spans="1:24" ht="16.5" x14ac:dyDescent="0.25">
      <c r="A30" s="12" t="s">
        <v>135</v>
      </c>
      <c r="N30" s="15" t="str">
        <f>_xlfn.XLOOKUP(D9,Product_Master!A:A,Product_Master!B:B,"Not Found")</f>
        <v>Laptop</v>
      </c>
    </row>
    <row r="31" spans="1:24" ht="17.25" x14ac:dyDescent="0.25">
      <c r="A31" s="10" t="s">
        <v>136</v>
      </c>
      <c r="N31" s="15" t="str">
        <f>_xlfn.XLOOKUP(D10,Product_Master!A:A,Product_Master!B:B,"Not Found")</f>
        <v>Pen</v>
      </c>
    </row>
    <row r="32" spans="1:24" ht="17.25" x14ac:dyDescent="0.25">
      <c r="A32" s="11" t="s">
        <v>137</v>
      </c>
      <c r="N32" s="15" t="str">
        <f>_xlfn.XLOOKUP(D11,Product_Master!A:A,Product_Master!B:B,"Not Found")</f>
        <v>Keyboard</v>
      </c>
    </row>
    <row r="33" spans="1:14" ht="16.5" x14ac:dyDescent="0.25">
      <c r="A33" s="12" t="s">
        <v>135</v>
      </c>
      <c r="N33" s="15" t="str">
        <f>_xlfn.XLOOKUP(D12,Product_Master!A:A,Product_Master!B:B,"Not Found")</f>
        <v>Office Chair</v>
      </c>
    </row>
    <row r="34" spans="1:14" ht="17.25" x14ac:dyDescent="0.25">
      <c r="A34" s="10" t="s">
        <v>138</v>
      </c>
      <c r="N34" s="15" t="str">
        <f>_xlfn.XLOOKUP(D13,Product_Master!A:A,Product_Master!B:B,"Not Found")</f>
        <v>Monitor</v>
      </c>
    </row>
    <row r="35" spans="1:14" ht="17.25" x14ac:dyDescent="0.25">
      <c r="A35" s="11" t="s">
        <v>139</v>
      </c>
      <c r="N35" s="15" t="str">
        <f>_xlfn.XLOOKUP(D14,Product_Master!A:A,Product_Master!B:B,"Not Found")</f>
        <v>Mouse</v>
      </c>
    </row>
    <row r="36" spans="1:14" ht="16.5" x14ac:dyDescent="0.25">
      <c r="A36" s="12" t="s">
        <v>140</v>
      </c>
      <c r="N36" s="15" t="str">
        <f>_xlfn.XLOOKUP(D15,Product_Master!A:A,Product_Master!B:B,"Not Found")</f>
        <v>Notebook</v>
      </c>
    </row>
    <row r="37" spans="1:14" ht="17.25" x14ac:dyDescent="0.25">
      <c r="A37" s="10" t="s">
        <v>141</v>
      </c>
      <c r="N37" s="15" t="str">
        <f>_xlfn.XLOOKUP(D16,Product_Master!A:A,Product_Master!B:B,"Not Found")</f>
        <v>Printer</v>
      </c>
    </row>
    <row r="38" spans="1:14" ht="17.25" x14ac:dyDescent="0.25">
      <c r="A38" s="11" t="s">
        <v>142</v>
      </c>
      <c r="N38" s="15" t="str">
        <f>_xlfn.XLOOKUP(D17,Product_Master!A:A,Product_Master!B:B,"Not Found")</f>
        <v>Pen</v>
      </c>
    </row>
    <row r="39" spans="1:14" ht="16.5" x14ac:dyDescent="0.25">
      <c r="A39" s="12" t="s">
        <v>140</v>
      </c>
      <c r="N39" s="15" t="str">
        <f>_xlfn.XLOOKUP(D18,Product_Master!A:A,Product_Master!B:B,"Not Found")</f>
        <v>Office Chair</v>
      </c>
    </row>
    <row r="40" spans="1:14" ht="17.25" x14ac:dyDescent="0.25">
      <c r="A40" s="10" t="s">
        <v>143</v>
      </c>
      <c r="N40" s="15" t="str">
        <f>_xlfn.XLOOKUP(D19,Product_Master!A:A,Product_Master!B:B,"Not Found")</f>
        <v>Laptop</v>
      </c>
    </row>
    <row r="41" spans="1:14" ht="17.25" x14ac:dyDescent="0.25">
      <c r="A41" s="11" t="s">
        <v>144</v>
      </c>
      <c r="N41" s="15" t="str">
        <f>_xlfn.XLOOKUP(D20,Product_Master!A:A,Product_Master!B:B,"Not Found")</f>
        <v>Monitor</v>
      </c>
    </row>
    <row r="42" spans="1:14" ht="16.5" x14ac:dyDescent="0.25">
      <c r="A42" s="12" t="s">
        <v>145</v>
      </c>
      <c r="N42" s="15" t="str">
        <f>_xlfn.XLOOKUP(D21,Product_Master!A:A,Product_Master!B:B,"Not Found")</f>
        <v>Keyboard</v>
      </c>
    </row>
    <row r="43" spans="1:14" ht="17.25" x14ac:dyDescent="0.25">
      <c r="A43" s="10" t="s">
        <v>146</v>
      </c>
    </row>
    <row r="44" spans="1:14" ht="17.25" x14ac:dyDescent="0.25">
      <c r="A44" s="11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A61-7602-4736-8475-23404869C6C9}">
  <dimension ref="A2:H9"/>
  <sheetViews>
    <sheetView workbookViewId="0">
      <selection activeCell="I17" sqref="I17"/>
    </sheetView>
  </sheetViews>
  <sheetFormatPr defaultRowHeight="15" x14ac:dyDescent="0.25"/>
  <cols>
    <col min="1" max="1" width="17.140625" customWidth="1"/>
    <col min="2" max="2" width="21" customWidth="1"/>
    <col min="3" max="3" width="16" customWidth="1"/>
    <col min="4" max="4" width="19.85546875" customWidth="1"/>
    <col min="5" max="5" width="17.140625" customWidth="1"/>
  </cols>
  <sheetData>
    <row r="2" spans="1:8" ht="26.25" x14ac:dyDescent="0.25">
      <c r="A2" s="4" t="s">
        <v>68</v>
      </c>
    </row>
    <row r="3" spans="1:8" ht="33" x14ac:dyDescent="0.25">
      <c r="A3" s="5" t="s">
        <v>2</v>
      </c>
      <c r="B3" s="5" t="s">
        <v>69</v>
      </c>
      <c r="C3" s="5" t="s">
        <v>70</v>
      </c>
      <c r="D3" s="5" t="s">
        <v>71</v>
      </c>
      <c r="E3" s="5" t="s">
        <v>72</v>
      </c>
    </row>
    <row r="4" spans="1:8" ht="17.25" x14ac:dyDescent="0.3">
      <c r="A4" s="6" t="s">
        <v>11</v>
      </c>
      <c r="B4" s="6" t="s">
        <v>73</v>
      </c>
      <c r="C4" s="6" t="s">
        <v>74</v>
      </c>
      <c r="D4" s="6">
        <v>50000</v>
      </c>
      <c r="E4" s="6" t="s">
        <v>75</v>
      </c>
      <c r="H4" s="9" t="s">
        <v>122</v>
      </c>
    </row>
    <row r="5" spans="1:8" ht="16.5" x14ac:dyDescent="0.25">
      <c r="A5" s="6" t="s">
        <v>17</v>
      </c>
      <c r="B5" s="6" t="s">
        <v>76</v>
      </c>
      <c r="C5" s="6" t="s">
        <v>74</v>
      </c>
      <c r="D5" s="6">
        <v>60000</v>
      </c>
      <c r="E5" s="6" t="s">
        <v>75</v>
      </c>
    </row>
    <row r="6" spans="1:8" ht="16.5" x14ac:dyDescent="0.25">
      <c r="A6" s="6" t="s">
        <v>22</v>
      </c>
      <c r="B6" s="6" t="s">
        <v>75</v>
      </c>
      <c r="C6" s="6" t="s">
        <v>77</v>
      </c>
      <c r="D6" s="6">
        <v>45000</v>
      </c>
      <c r="E6" s="6" t="s">
        <v>78</v>
      </c>
    </row>
    <row r="7" spans="1:8" ht="16.5" x14ac:dyDescent="0.25">
      <c r="A7" s="6" t="s">
        <v>27</v>
      </c>
      <c r="B7" s="6" t="s">
        <v>78</v>
      </c>
      <c r="C7" s="6" t="s">
        <v>74</v>
      </c>
      <c r="D7" s="6">
        <v>55000</v>
      </c>
      <c r="E7" s="6" t="s">
        <v>75</v>
      </c>
    </row>
    <row r="8" spans="1:8" ht="16.5" x14ac:dyDescent="0.25">
      <c r="A8" s="6" t="s">
        <v>35</v>
      </c>
      <c r="B8" s="6" t="s">
        <v>79</v>
      </c>
      <c r="C8" s="6" t="s">
        <v>80</v>
      </c>
      <c r="D8" s="6">
        <v>40000</v>
      </c>
      <c r="E8" s="6" t="s">
        <v>81</v>
      </c>
    </row>
    <row r="9" spans="1:8" ht="16.5" x14ac:dyDescent="0.25">
      <c r="A9" s="6" t="s">
        <v>41</v>
      </c>
      <c r="B9" s="6" t="s">
        <v>82</v>
      </c>
      <c r="C9" s="6" t="s">
        <v>74</v>
      </c>
      <c r="D9" s="6">
        <v>65000</v>
      </c>
      <c r="E9" s="6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8F27-FC75-4009-BDF2-30DD476404AB}">
  <dimension ref="A2:I11"/>
  <sheetViews>
    <sheetView workbookViewId="0">
      <selection activeCell="N10" sqref="N10"/>
    </sheetView>
  </sheetViews>
  <sheetFormatPr defaultRowHeight="15" x14ac:dyDescent="0.25"/>
  <cols>
    <col min="1" max="1" width="16.28515625" customWidth="1"/>
    <col min="2" max="2" width="21.28515625" customWidth="1"/>
    <col min="3" max="3" width="14.5703125" customWidth="1"/>
    <col min="4" max="4" width="17" customWidth="1"/>
  </cols>
  <sheetData>
    <row r="2" spans="1:9" ht="26.25" x14ac:dyDescent="0.25">
      <c r="A2" s="4" t="s">
        <v>83</v>
      </c>
    </row>
    <row r="3" spans="1:9" ht="33" x14ac:dyDescent="0.25">
      <c r="A3" s="5" t="s">
        <v>3</v>
      </c>
      <c r="B3" s="5" t="s">
        <v>84</v>
      </c>
      <c r="C3" s="5" t="s">
        <v>85</v>
      </c>
      <c r="D3" s="5" t="s">
        <v>86</v>
      </c>
    </row>
    <row r="4" spans="1:9" ht="17.25" x14ac:dyDescent="0.3">
      <c r="A4" s="6" t="s">
        <v>12</v>
      </c>
      <c r="B4" s="6" t="s">
        <v>87</v>
      </c>
      <c r="C4" s="6" t="s">
        <v>88</v>
      </c>
      <c r="D4" s="6">
        <v>900</v>
      </c>
      <c r="I4" s="9" t="s">
        <v>123</v>
      </c>
    </row>
    <row r="5" spans="1:9" ht="16.5" x14ac:dyDescent="0.25">
      <c r="A5" s="6" t="s">
        <v>23</v>
      </c>
      <c r="B5" s="6" t="s">
        <v>89</v>
      </c>
      <c r="C5" s="6" t="s">
        <v>88</v>
      </c>
      <c r="D5" s="6">
        <v>1100</v>
      </c>
    </row>
    <row r="6" spans="1:9" ht="33" x14ac:dyDescent="0.25">
      <c r="A6" s="6" t="s">
        <v>18</v>
      </c>
      <c r="B6" s="6" t="s">
        <v>90</v>
      </c>
      <c r="C6" s="6" t="s">
        <v>91</v>
      </c>
      <c r="D6" s="6">
        <v>500</v>
      </c>
    </row>
    <row r="7" spans="1:9" ht="33" x14ac:dyDescent="0.25">
      <c r="A7" s="6" t="s">
        <v>28</v>
      </c>
      <c r="B7" s="6" t="s">
        <v>92</v>
      </c>
      <c r="C7" s="6" t="s">
        <v>91</v>
      </c>
      <c r="D7" s="6">
        <v>350</v>
      </c>
    </row>
    <row r="8" spans="1:9" ht="33" x14ac:dyDescent="0.25">
      <c r="A8" s="6" t="s">
        <v>32</v>
      </c>
      <c r="B8" s="6" t="s">
        <v>93</v>
      </c>
      <c r="C8" s="6" t="s">
        <v>94</v>
      </c>
      <c r="D8" s="6">
        <v>120</v>
      </c>
    </row>
    <row r="9" spans="1:9" ht="33" x14ac:dyDescent="0.25">
      <c r="A9" s="6" t="s">
        <v>36</v>
      </c>
      <c r="B9" s="6" t="s">
        <v>95</v>
      </c>
      <c r="C9" s="6" t="s">
        <v>88</v>
      </c>
      <c r="D9" s="6">
        <v>1800</v>
      </c>
    </row>
    <row r="10" spans="1:9" ht="33" x14ac:dyDescent="0.25">
      <c r="A10" s="6" t="s">
        <v>42</v>
      </c>
      <c r="B10" s="6" t="s">
        <v>96</v>
      </c>
      <c r="C10" s="6" t="s">
        <v>94</v>
      </c>
      <c r="D10" s="6">
        <v>50</v>
      </c>
    </row>
    <row r="11" spans="1:9" ht="33" x14ac:dyDescent="0.25">
      <c r="A11" s="6" t="s">
        <v>47</v>
      </c>
      <c r="B11" s="6" t="s">
        <v>97</v>
      </c>
      <c r="C11" s="6" t="s">
        <v>98</v>
      </c>
      <c r="D11" s="6">
        <v>2200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5975-D4B3-493B-8FF2-190287D6629F}">
  <dimension ref="A2:K14"/>
  <sheetViews>
    <sheetView workbookViewId="0">
      <selection activeCell="F6" sqref="F6"/>
    </sheetView>
  </sheetViews>
  <sheetFormatPr defaultRowHeight="15" x14ac:dyDescent="0.25"/>
  <cols>
    <col min="1" max="1" width="14.85546875" customWidth="1"/>
    <col min="2" max="2" width="19.5703125" customWidth="1"/>
    <col min="3" max="3" width="25" customWidth="1"/>
  </cols>
  <sheetData>
    <row r="2" spans="1:11" ht="26.25" x14ac:dyDescent="0.25">
      <c r="A2" s="4" t="s">
        <v>99</v>
      </c>
    </row>
    <row r="3" spans="1:11" ht="17.25" x14ac:dyDescent="0.25">
      <c r="A3" s="7" t="s">
        <v>100</v>
      </c>
    </row>
    <row r="4" spans="1:11" ht="49.5" x14ac:dyDescent="0.25">
      <c r="A4" s="5" t="s">
        <v>101</v>
      </c>
      <c r="B4" s="5" t="s">
        <v>102</v>
      </c>
      <c r="C4" s="5" t="s">
        <v>103</v>
      </c>
      <c r="K4" s="4" t="s">
        <v>124</v>
      </c>
    </row>
    <row r="5" spans="1:11" ht="33" x14ac:dyDescent="0.25">
      <c r="A5" s="6" t="s">
        <v>104</v>
      </c>
      <c r="B5" s="6" t="s">
        <v>105</v>
      </c>
      <c r="C5" s="8">
        <f>G2*H2</f>
        <v>0</v>
      </c>
      <c r="K5" s="7" t="s">
        <v>125</v>
      </c>
    </row>
    <row r="6" spans="1:11" ht="49.5" x14ac:dyDescent="0.25">
      <c r="A6" s="6" t="s">
        <v>106</v>
      </c>
      <c r="B6" s="6" t="s">
        <v>107</v>
      </c>
      <c r="C6" s="8">
        <f>J2*I2</f>
        <v>0</v>
      </c>
      <c r="K6" s="7" t="s">
        <v>126</v>
      </c>
    </row>
    <row r="7" spans="1:11" ht="33" x14ac:dyDescent="0.25">
      <c r="A7" s="6" t="s">
        <v>108</v>
      </c>
      <c r="B7" s="6" t="s">
        <v>109</v>
      </c>
      <c r="C7" s="8">
        <f>J2-K2</f>
        <v>0</v>
      </c>
      <c r="K7" s="10" t="s">
        <v>127</v>
      </c>
    </row>
    <row r="8" spans="1:11" ht="49.5" x14ac:dyDescent="0.25">
      <c r="A8" s="6" t="s">
        <v>110</v>
      </c>
      <c r="B8" s="6" t="s">
        <v>69</v>
      </c>
      <c r="C8" s="8">
        <f>_xlfn.XLOOKUP(C2,Employee_Master!A:A,Employee_Master!B:B,"Not Found")</f>
        <v>0</v>
      </c>
      <c r="K8" s="7" t="s">
        <v>128</v>
      </c>
    </row>
    <row r="9" spans="1:11" ht="33" x14ac:dyDescent="0.25">
      <c r="A9" s="6" t="s">
        <v>111</v>
      </c>
      <c r="B9" s="6" t="s">
        <v>84</v>
      </c>
      <c r="C9" s="8">
        <f>_xlfn.XLOOKUP(D2,Product_Master!A:A,Product_Master!B:B,"Not Found")</f>
        <v>0</v>
      </c>
      <c r="K9" s="7" t="s">
        <v>129</v>
      </c>
    </row>
    <row r="10" spans="1:11" ht="33" x14ac:dyDescent="0.25">
      <c r="A10" s="6" t="s">
        <v>112</v>
      </c>
      <c r="B10" s="6" t="s">
        <v>85</v>
      </c>
      <c r="C10" s="8">
        <f>_xlfn.XLOOKUP(D2,Product_Master!A:A,Product_Master!C:C,"Not Found")</f>
        <v>0</v>
      </c>
      <c r="K10" s="10" t="s">
        <v>130</v>
      </c>
    </row>
    <row r="11" spans="1:11" ht="33" x14ac:dyDescent="0.25">
      <c r="A11" s="6" t="s">
        <v>113</v>
      </c>
      <c r="B11" s="6" t="s">
        <v>114</v>
      </c>
      <c r="C11" s="8">
        <f>G2*_xlfn.XLOOKUP(D2,Product_Master!A:A,Product_Master!D:D,0)</f>
        <v>0</v>
      </c>
    </row>
    <row r="12" spans="1:11" ht="16.5" x14ac:dyDescent="0.25">
      <c r="A12" s="6" t="s">
        <v>115</v>
      </c>
      <c r="B12" s="6" t="s">
        <v>116</v>
      </c>
      <c r="C12" s="8">
        <f>L2-P2</f>
        <v>0</v>
      </c>
    </row>
    <row r="13" spans="1:11" ht="16.5" x14ac:dyDescent="0.25">
      <c r="A13" s="6" t="s">
        <v>117</v>
      </c>
      <c r="B13" s="6" t="s">
        <v>118</v>
      </c>
      <c r="C13" s="8" t="str">
        <f>TEXT(B2,"mmm")</f>
        <v>Jan</v>
      </c>
    </row>
    <row r="14" spans="1:11" ht="33" x14ac:dyDescent="0.25">
      <c r="A14" s="6" t="s">
        <v>119</v>
      </c>
      <c r="B14" s="6" t="s">
        <v>120</v>
      </c>
      <c r="C14" s="8" t="str">
        <f>IF(L2&gt;=10000,"High Value","Normal")</f>
        <v>Normal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Employee_Master</vt:lpstr>
      <vt:lpstr>Product_Master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2026-10-13T09:11:56Z</dcterms:created>
  <dcterms:modified xsi:type="dcterms:W3CDTF">2026-10-13T10:05:38Z</dcterms:modified>
</cp:coreProperties>
</file>